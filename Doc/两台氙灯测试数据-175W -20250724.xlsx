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61FB9558-CB6C-4C80-BEE3-B639C9BB2835}" xr6:coauthVersionLast="47" xr6:coauthVersionMax="47" xr10:uidLastSave="{00000000-0000-0000-0000-000000000000}"/>
  <bookViews>
    <workbookView xWindow="0" yWindow="6156" windowWidth="23040" windowHeight="6204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G17" i="1" l="1"/>
  <c r="G15" i="1"/>
  <c r="G13" i="1"/>
  <c r="G11" i="1"/>
  <c r="G9" i="1"/>
  <c r="G7" i="1"/>
  <c r="F17" i="1"/>
  <c r="F15" i="1"/>
  <c r="F13" i="1"/>
  <c r="F11" i="1"/>
  <c r="F9" i="1"/>
  <c r="F7" i="1"/>
  <c r="E7" i="1"/>
  <c r="E9" i="1"/>
  <c r="E11" i="1"/>
  <c r="E13" i="1"/>
  <c r="E15" i="1"/>
  <c r="E17" i="1"/>
  <c r="D17" i="1"/>
  <c r="D15" i="1"/>
  <c r="D13" i="1"/>
  <c r="D11" i="1"/>
  <c r="D9" i="1"/>
  <c r="D7" i="1"/>
  <c r="C17" i="1"/>
  <c r="C15" i="1"/>
  <c r="C13" i="1"/>
  <c r="C11" i="1"/>
  <c r="C9" i="1"/>
  <c r="C7" i="1"/>
  <c r="G18" i="1"/>
  <c r="G16" i="1"/>
  <c r="G14" i="1"/>
  <c r="G12" i="1"/>
  <c r="G10" i="1"/>
  <c r="G8" i="1"/>
  <c r="G6" i="1"/>
  <c r="G5" i="1"/>
</calcChain>
</file>

<file path=xl/sharedStrings.xml><?xml version="1.0" encoding="utf-8"?>
<sst xmlns="http://schemas.openxmlformats.org/spreadsheetml/2006/main" count="15" uniqueCount="8">
  <si>
    <t>氙灯1</t>
  </si>
  <si>
    <t>氙灯2</t>
  </si>
  <si>
    <t>照度(lx)</t>
  </si>
  <si>
    <t>输入电流</t>
  </si>
  <si>
    <t>ave</t>
    <phoneticPr fontId="2" type="noConversion"/>
  </si>
  <si>
    <t>第一次测试W</t>
    <phoneticPr fontId="2" type="noConversion"/>
  </si>
  <si>
    <t>第二次测试W</t>
    <phoneticPr fontId="2" type="noConversion"/>
  </si>
  <si>
    <t>计算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</si>
</sst>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00"/>
  </numFmts>
  <fonts count="6" x14ac:knownFonts="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9"/>
      <name val="宋体"/>
      <charset val="134"/>
      <scheme val="minor"/>
    </font>
    <font>
      <sz val="14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180" fontId="0" fillId="0" borderId="0" xfId="0" applyNumberForma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062423447069117"/>
                  <c:y val="-0.160823490813648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Sheet1!$B$5:$B$18</c:f>
              <c:numCache>
                <c:formatCode>0%</c:formatCode>
                <c:ptCount val="14"/>
                <c:pt idx="0">
                  <c:v>0.35</c:v>
                </c:pt>
                <c:pt idx="1">
                  <c:v>0.4</c:v>
                </c:pt>
                <c:pt idx="2">
                  <c:v>0.45</c:v>
                </c:pt>
                <c:pt idx="3">
                  <c:v>0.5</c:v>
                </c:pt>
                <c:pt idx="4">
                  <c:v>0.55000000000000004</c:v>
                </c:pt>
                <c:pt idx="5">
                  <c:v>0.6</c:v>
                </c:pt>
                <c:pt idx="6">
                  <c:v>0.65</c:v>
                </c:pt>
                <c:pt idx="7">
                  <c:v>0.7</c:v>
                </c:pt>
                <c:pt idx="8">
                  <c:v>0.75</c:v>
                </c:pt>
                <c:pt idx="9">
                  <c:v>0.8</c:v>
                </c:pt>
                <c:pt idx="10">
                  <c:v>0.85</c:v>
                </c:pt>
                <c:pt idx="11">
                  <c:v>0.9</c:v>
                </c:pt>
                <c:pt idx="12">
                  <c:v>0.95</c:v>
                </c:pt>
                <c:pt idx="13">
                  <c:v>1</c:v>
                </c:pt>
              </c:numCache>
            </c:numRef>
          </c:xVal>
          <c:yVal>
            <c:numRef>
              <c:f>Sheet1!$G$5:$G$18</c:f>
              <c:numCache>
                <c:formatCode>0.0000</c:formatCode>
                <c:ptCount val="14"/>
                <c:pt idx="0">
                  <c:v>4.5500000000000007</c:v>
                </c:pt>
                <c:pt idx="1">
                  <c:v>6.0500000000000007</c:v>
                </c:pt>
                <c:pt idx="2">
                  <c:v>7.8000000000000007</c:v>
                </c:pt>
                <c:pt idx="3">
                  <c:v>9.5499999999999989</c:v>
                </c:pt>
                <c:pt idx="4">
                  <c:v>11.450000000000001</c:v>
                </c:pt>
                <c:pt idx="5">
                  <c:v>13.350000000000001</c:v>
                </c:pt>
                <c:pt idx="6">
                  <c:v>15.4375</c:v>
                </c:pt>
                <c:pt idx="7">
                  <c:v>17.524999999999999</c:v>
                </c:pt>
                <c:pt idx="8">
                  <c:v>19.662500000000001</c:v>
                </c:pt>
                <c:pt idx="9">
                  <c:v>21.8</c:v>
                </c:pt>
                <c:pt idx="10">
                  <c:v>24.074999999999999</c:v>
                </c:pt>
                <c:pt idx="11">
                  <c:v>26.35</c:v>
                </c:pt>
                <c:pt idx="12">
                  <c:v>28.3</c:v>
                </c:pt>
                <c:pt idx="13">
                  <c:v>30.25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B0-4AA2-907A-84B9A7793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0048608"/>
        <c:axId val="1550049856"/>
      </c:scatterChart>
      <c:valAx>
        <c:axId val="1550048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50049856"/>
        <c:crosses val="autoZero"/>
        <c:crossBetween val="midCat"/>
      </c:valAx>
      <c:valAx>
        <c:axId val="155004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50048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472440</xdr:colOff>
      <xdr:row>5</xdr:row>
      <xdr:rowOff>34290</xdr:rowOff>
    </xdr:from>
    <xdr:to>
      <xdr:col>11</xdr:col>
      <xdr:colOff>777240</xdr:colOff>
      <xdr:row>13</xdr:row>
      <xdr:rowOff>278130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11FC780-D796-47A2-962E-B34DD8689A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topLeftCell="F4" workbookViewId="0">
      <selection activeCell="J16" sqref="J16"/>
    </sheetView>
  </sheetViews>
  <sheetFormatPr defaultColWidth="9" defaultRowHeight="25.05" customHeight="1" x14ac:dyDescent="0.25"/>
  <cols>
    <col min="2" max="2" width="15.6640625" style="1" customWidth="1"/>
    <col min="3" max="3" width="15.5546875" style="1" customWidth="1"/>
    <col min="4" max="4" width="21.21875" style="1" customWidth="1"/>
    <col min="5" max="6" width="24" style="2" customWidth="1"/>
    <col min="7" max="13" width="15.5546875" customWidth="1"/>
  </cols>
  <sheetData>
    <row r="1" spans="1:7" ht="25.05" customHeight="1" x14ac:dyDescent="0.25">
      <c r="G1" t="s">
        <v>4</v>
      </c>
    </row>
    <row r="2" spans="1:7" ht="25.05" customHeight="1" x14ac:dyDescent="0.25">
      <c r="B2" s="3"/>
      <c r="C2" s="8" t="s">
        <v>0</v>
      </c>
      <c r="D2" s="8"/>
      <c r="E2" s="8" t="s">
        <v>1</v>
      </c>
      <c r="F2" s="8"/>
    </row>
    <row r="3" spans="1:7" ht="25.05" customHeight="1" x14ac:dyDescent="0.25">
      <c r="B3" s="3"/>
      <c r="C3" s="8" t="s">
        <v>2</v>
      </c>
      <c r="D3" s="8"/>
      <c r="E3" s="8"/>
      <c r="F3" s="8"/>
    </row>
    <row r="4" spans="1:7" ht="25.05" customHeight="1" x14ac:dyDescent="0.25">
      <c r="B4" s="6" t="s">
        <v>3</v>
      </c>
      <c r="C4" s="10" t="s">
        <v>5</v>
      </c>
      <c r="D4" s="10" t="s">
        <v>6</v>
      </c>
      <c r="E4" s="11" t="s">
        <v>5</v>
      </c>
      <c r="F4" s="11" t="s">
        <v>6</v>
      </c>
    </row>
    <row r="5" spans="1:7" ht="25.05" customHeight="1" x14ac:dyDescent="0.25">
      <c r="B5" s="7">
        <v>0.35</v>
      </c>
      <c r="C5" s="3">
        <v>5</v>
      </c>
      <c r="D5" s="9">
        <v>4.4000000000000004</v>
      </c>
      <c r="E5" s="9">
        <v>4.2</v>
      </c>
      <c r="F5" s="9">
        <v>4.5999999999999996</v>
      </c>
      <c r="G5" s="12">
        <f>(C5 + D5 + E5 + F5) / 4</f>
        <v>4.5500000000000007</v>
      </c>
    </row>
    <row r="6" spans="1:7" ht="25.05" customHeight="1" x14ac:dyDescent="0.25">
      <c r="B6" s="7">
        <v>0.4</v>
      </c>
      <c r="C6" s="3">
        <v>6.6</v>
      </c>
      <c r="D6" s="9">
        <v>6.2</v>
      </c>
      <c r="E6" s="5">
        <v>5.8</v>
      </c>
      <c r="F6" s="5">
        <v>5.6</v>
      </c>
      <c r="G6" s="12">
        <f t="shared" ref="G6:G18" si="0">(C6 + D6 + E6 + F6) / 4</f>
        <v>6.0500000000000007</v>
      </c>
    </row>
    <row r="7" spans="1:7" ht="25.05" customHeight="1" x14ac:dyDescent="0.25">
      <c r="A7" s="13" t="s">
        <v>7</v>
      </c>
      <c r="B7" s="7">
        <v>0.45</v>
      </c>
      <c r="C7" s="5">
        <f>(C6+C8)/2</f>
        <v>8.1999999999999993</v>
      </c>
      <c r="D7" s="5">
        <f>(D6+D8)/2</f>
        <v>7.9</v>
      </c>
      <c r="E7" s="5">
        <f>(E6+E8)/2</f>
        <v>7.75</v>
      </c>
      <c r="F7" s="5">
        <f>(F6+F8)/2</f>
        <v>7.35</v>
      </c>
      <c r="G7" s="12">
        <f t="shared" si="0"/>
        <v>7.8000000000000007</v>
      </c>
    </row>
    <row r="8" spans="1:7" ht="25.05" customHeight="1" x14ac:dyDescent="0.25">
      <c r="B8" s="7">
        <v>0.5</v>
      </c>
      <c r="C8" s="3">
        <v>9.8000000000000007</v>
      </c>
      <c r="D8" s="3">
        <v>9.6</v>
      </c>
      <c r="E8" s="5">
        <v>9.6999999999999993</v>
      </c>
      <c r="F8" s="5">
        <v>9.1</v>
      </c>
      <c r="G8" s="12">
        <f t="shared" si="0"/>
        <v>9.5499999999999989</v>
      </c>
    </row>
    <row r="9" spans="1:7" ht="25.05" customHeight="1" x14ac:dyDescent="0.25">
      <c r="A9" s="13" t="s">
        <v>7</v>
      </c>
      <c r="B9" s="7">
        <v>0.55000000000000004</v>
      </c>
      <c r="C9" s="5">
        <f>(C8+C10)/2</f>
        <v>11.600000000000001</v>
      </c>
      <c r="D9" s="5">
        <f>(D8+D10)/2</f>
        <v>11.45</v>
      </c>
      <c r="E9" s="5">
        <f>(E8+E10)/2</f>
        <v>11.649999999999999</v>
      </c>
      <c r="F9" s="5">
        <f>(F8+F10)/2</f>
        <v>11.1</v>
      </c>
      <c r="G9" s="12">
        <f t="shared" si="0"/>
        <v>11.450000000000001</v>
      </c>
    </row>
    <row r="10" spans="1:7" ht="25.05" customHeight="1" x14ac:dyDescent="0.25">
      <c r="B10" s="7">
        <v>0.6</v>
      </c>
      <c r="C10" s="3">
        <v>13.4</v>
      </c>
      <c r="D10" s="3">
        <v>13.3</v>
      </c>
      <c r="E10" s="5">
        <v>13.6</v>
      </c>
      <c r="F10" s="5">
        <v>13.1</v>
      </c>
      <c r="G10" s="12">
        <f t="shared" si="0"/>
        <v>13.350000000000001</v>
      </c>
    </row>
    <row r="11" spans="1:7" ht="25.05" customHeight="1" x14ac:dyDescent="0.25">
      <c r="A11" s="13" t="s">
        <v>7</v>
      </c>
      <c r="B11" s="7">
        <v>0.65</v>
      </c>
      <c r="C11" s="5">
        <f>(C10+C12)/2</f>
        <v>15.45</v>
      </c>
      <c r="D11" s="5">
        <f>(D10+D12)/2</f>
        <v>15.35</v>
      </c>
      <c r="E11" s="5">
        <f>(E10+E12)/2</f>
        <v>15.649999999999999</v>
      </c>
      <c r="F11" s="5">
        <f>(F10+F12)/2</f>
        <v>15.3</v>
      </c>
      <c r="G11" s="12">
        <f t="shared" si="0"/>
        <v>15.4375</v>
      </c>
    </row>
    <row r="12" spans="1:7" ht="25.05" customHeight="1" x14ac:dyDescent="0.25">
      <c r="B12" s="7">
        <v>0.7</v>
      </c>
      <c r="C12" s="3">
        <v>17.5</v>
      </c>
      <c r="D12" s="3">
        <v>17.399999999999999</v>
      </c>
      <c r="E12" s="5">
        <v>17.7</v>
      </c>
      <c r="F12" s="5">
        <v>17.5</v>
      </c>
      <c r="G12" s="12">
        <f t="shared" si="0"/>
        <v>17.524999999999999</v>
      </c>
    </row>
    <row r="13" spans="1:7" ht="25.05" customHeight="1" x14ac:dyDescent="0.25">
      <c r="A13" s="13" t="s">
        <v>7</v>
      </c>
      <c r="B13" s="7">
        <v>0.75</v>
      </c>
      <c r="C13" s="5">
        <f>(C12+C14)/2</f>
        <v>19.5</v>
      </c>
      <c r="D13" s="5">
        <f>(D12+D14)/2</f>
        <v>19.45</v>
      </c>
      <c r="E13" s="5">
        <f>(E12+E14)/2</f>
        <v>19.95</v>
      </c>
      <c r="F13" s="5">
        <f>(F12+F14)/2</f>
        <v>19.75</v>
      </c>
      <c r="G13" s="12">
        <f t="shared" si="0"/>
        <v>19.662500000000001</v>
      </c>
    </row>
    <row r="14" spans="1:7" ht="25.05" customHeight="1" x14ac:dyDescent="0.25">
      <c r="B14" s="7">
        <v>0.8</v>
      </c>
      <c r="C14" s="3">
        <v>21.5</v>
      </c>
      <c r="D14" s="3">
        <v>21.5</v>
      </c>
      <c r="E14" s="5">
        <v>22.2</v>
      </c>
      <c r="F14" s="5">
        <v>22</v>
      </c>
      <c r="G14" s="12">
        <f t="shared" si="0"/>
        <v>21.8</v>
      </c>
    </row>
    <row r="15" spans="1:7" ht="25.05" customHeight="1" x14ac:dyDescent="0.25">
      <c r="A15" s="13" t="s">
        <v>7</v>
      </c>
      <c r="B15" s="7">
        <v>0.85</v>
      </c>
      <c r="C15" s="5">
        <f>(C14+C16)/2</f>
        <v>23.75</v>
      </c>
      <c r="D15" s="5">
        <f>(D14+D16)/2</f>
        <v>23.75</v>
      </c>
      <c r="E15" s="5">
        <f>(E14+E16)/2</f>
        <v>24.549999999999997</v>
      </c>
      <c r="F15" s="5">
        <f>(F14+F16)/2</f>
        <v>24.25</v>
      </c>
      <c r="G15" s="12">
        <f t="shared" si="0"/>
        <v>24.074999999999999</v>
      </c>
    </row>
    <row r="16" spans="1:7" ht="25.05" customHeight="1" x14ac:dyDescent="0.25">
      <c r="B16" s="7">
        <v>0.9</v>
      </c>
      <c r="C16" s="3">
        <v>26</v>
      </c>
      <c r="D16" s="3">
        <v>26</v>
      </c>
      <c r="E16" s="5">
        <v>26.9</v>
      </c>
      <c r="F16" s="5">
        <v>26.5</v>
      </c>
      <c r="G16" s="12">
        <f t="shared" si="0"/>
        <v>26.35</v>
      </c>
    </row>
    <row r="17" spans="1:7" ht="25.05" customHeight="1" x14ac:dyDescent="0.25">
      <c r="A17" s="13" t="s">
        <v>7</v>
      </c>
      <c r="B17" s="7">
        <v>0.95</v>
      </c>
      <c r="C17" s="5">
        <f>(C16+C18)/2</f>
        <v>28</v>
      </c>
      <c r="D17" s="5">
        <f>(D16+D18)/2</f>
        <v>28</v>
      </c>
      <c r="E17" s="5">
        <f>(E16+E18)/2</f>
        <v>28.45</v>
      </c>
      <c r="F17" s="5">
        <f>(F16+F18)/2</f>
        <v>28.75</v>
      </c>
      <c r="G17" s="12">
        <f t="shared" si="0"/>
        <v>28.3</v>
      </c>
    </row>
    <row r="18" spans="1:7" ht="25.05" customHeight="1" x14ac:dyDescent="0.25">
      <c r="B18" s="7">
        <v>1</v>
      </c>
      <c r="C18" s="4">
        <v>30</v>
      </c>
      <c r="D18" s="4">
        <v>30</v>
      </c>
      <c r="E18" s="5">
        <v>30</v>
      </c>
      <c r="F18" s="5">
        <v>31</v>
      </c>
      <c r="G18" s="12">
        <f t="shared" si="0"/>
        <v>30.25</v>
      </c>
    </row>
  </sheetData>
  <mergeCells count="3">
    <mergeCell ref="C2:D2"/>
    <mergeCell ref="E2:F2"/>
    <mergeCell ref="C3:F3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7" sqref="B7"/>
    </sheetView>
  </sheetViews>
  <sheetFormatPr defaultColWidth="9" defaultRowHeight="14.4" x14ac:dyDescent="0.25"/>
  <sheetData/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B7" sqref="B7"/>
    </sheetView>
  </sheetViews>
  <sheetFormatPr defaultColWidth="9" defaultRowHeight="14.4" x14ac:dyDescent="0.25"/>
  <sheetData/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邓邦肯</dc:creator>
  <cp:lastModifiedBy>维国 xu</cp:lastModifiedBy>
  <dcterms:created xsi:type="dcterms:W3CDTF">2023-05-12T11:15:00Z</dcterms:created>
  <dcterms:modified xsi:type="dcterms:W3CDTF">2025-07-24T08:22:33Z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320DA22476904BDF964B471E41878D0B_12</vt:lpwstr>
  </property>
</Properties>
</file>